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<sst xmlns="http://schemas.openxmlformats.org/spreadsheetml/2006/main" count="294" uniqueCount="181">
  <si>
    <t xml:space="preserve">序号</t>
  </si>
  <si>
    <t>采购时间</t>
  </si>
  <si>
    <t>提交人</t>
  </si>
  <si>
    <t>设备名称</t>
  </si>
  <si>
    <t xml:space="preserve">物料名称</t>
  </si>
  <si>
    <r>
      <rPr>
        <b/>
        <sz val="12"/>
        <color rgb="FF000000"/>
        <rFont val="宋体"/>
        <charset val="134"/>
        <scheme val="major"/>
      </rPr>
      <t>规格</t>
    </r>
    <r>
      <rPr>
        <b/>
        <sz val="12"/>
        <rFont val="宋体"/>
        <charset val="134"/>
        <scheme val="major"/>
      </rPr>
      <t>/型号/图号</t>
    </r>
  </si>
  <si>
    <t xml:space="preserve">物料类别</t>
  </si>
  <si>
    <t>更换周期</t>
  </si>
  <si>
    <t>常见易损原因</t>
  </si>
  <si>
    <t>单价</t>
  </si>
  <si>
    <t>数量</t>
  </si>
  <si>
    <t>单位</t>
  </si>
  <si>
    <t>金额</t>
  </si>
  <si>
    <t xml:space="preserve">采购参考
</t>
  </si>
  <si>
    <t>备注</t>
  </si>
  <si>
    <t>2026.3.24</t>
  </si>
  <si>
    <t>程文强</t>
  </si>
  <si>
    <t>空压机</t>
  </si>
  <si>
    <t>磁力启动器</t>
  </si>
  <si>
    <t>【QCX5-22】5.5-7.5KW_380V空压机</t>
  </si>
  <si>
    <t>外购件</t>
  </si>
  <si>
    <t>损坏更换</t>
  </si>
  <si>
    <t>磨损/撞坏</t>
  </si>
  <si>
    <t>套</t>
  </si>
  <si>
    <t>【京东】https://3.cn/2H7yDO-g?jkl=@B35xVAammH0E@ ZH1997</t>
  </si>
  <si>
    <t>用于车间空压机维修和备品备件补充</t>
  </si>
  <si>
    <t>空压机地脚轮</t>
  </si>
  <si>
    <t>7寸（约21*160*30）</t>
  </si>
  <si>
    <t>10</t>
  </si>
  <si>
    <t>8</t>
  </si>
  <si>
    <t>个</t>
  </si>
  <si>
    <t>【京东】https://3.cn/2Ik9-7fr?jkl=@N05fl03azQy5@ ZH1997</t>
  </si>
  <si>
    <t>8寸（约26*190*40）</t>
  </si>
  <si>
    <t>15</t>
  </si>
  <si>
    <t>安全阀</t>
  </si>
  <si>
    <t>小红帽2分牙12.5公斤</t>
  </si>
  <si>
    <t>周期更换</t>
  </si>
  <si>
    <t>失效</t>
  </si>
  <si>
    <t>12</t>
  </si>
  <si>
    <t>【京东】https://3.cn/2I-ixpEi?jkl=@V3L0R829oT36@ CA1507 「</t>
  </si>
  <si>
    <t>快速接头</t>
  </si>
  <si>
    <t>C式圆两通外丝4分母头</t>
  </si>
  <si>
    <t xml:space="preserve">【京东】https://3.cn/2Ik2tG-W?jkl=@ND4f854Uncmu@ ZH1997 </t>
  </si>
  <si>
    <t>球阀开关</t>
  </si>
  <si>
    <t>2分内外丝黄铜球阀开关</t>
  </si>
  <si>
    <t xml:space="preserve">【京东】https://3.cn/2I-k3sba?jkl=@YEDwdC1JujNV@ CA1393 </t>
  </si>
  <si>
    <t>装配室工具</t>
  </si>
  <si>
    <t>电动扳手</t>
  </si>
  <si>
    <t>绿林900Nm电动扳手7.5Ah双电池</t>
  </si>
  <si>
    <t>磨损/异常损坏</t>
  </si>
  <si>
    <t xml:space="preserve">【京东】https://3.cn/2-HDkyAr?jkl=@WB8hXFuXhIqM@ ZH9112 </t>
  </si>
  <si>
    <t>用于内外焊等旧设备翻新安装的专用工具采购</t>
  </si>
  <si>
    <t>卡簧钳</t>
  </si>
  <si>
    <t>德力西7寸卡簧钳四件套</t>
  </si>
  <si>
    <t>磨损</t>
  </si>
  <si>
    <t>【京东】https://3.cn/2-HDp0BL?jkl=@V6BjWEzDaFwF@ MF3390</t>
  </si>
  <si>
    <t>梅花扳手</t>
  </si>
  <si>
    <t>24*27双头梅花扳手</t>
  </si>
  <si>
    <t xml:space="preserve">磨损 </t>
  </si>
  <si>
    <t>把</t>
  </si>
  <si>
    <t xml:space="preserve">【京东】https://3.cn/2-HDramU?jkl=@J5Iex0vAP0CY@ CA3576 </t>
  </si>
  <si>
    <t>尖尾棘轮扳手</t>
  </si>
  <si>
    <t>24*27mm</t>
  </si>
  <si>
    <t xml:space="preserve">【京东】https://3.cn/2H-8aSYS?jkl=@V7MhX9yMzToJ@ MU5104 </t>
  </si>
  <si>
    <t>除锈剂</t>
  </si>
  <si>
    <t>多功能松锈润滑剂</t>
  </si>
  <si>
    <t>消耗品</t>
  </si>
  <si>
    <t>箱</t>
  </si>
  <si>
    <t>【京东】https://3.cn/2wh5vc-2?jkl=@I3yRm45UWhCI@ CA3576</t>
  </si>
  <si>
    <t>千斤顶</t>
  </si>
  <si>
    <t>8T机械螺旋顶</t>
  </si>
  <si>
    <t>台</t>
  </si>
  <si>
    <t xml:space="preserve">【京东】https://3.cn/2HEkY-m8?jkl=@R6DgJFS3Le7e@ MF3390 </t>
  </si>
  <si>
    <t>用于行车维修</t>
  </si>
  <si>
    <t>起重/校正设备</t>
  </si>
  <si>
    <t>轴承润滑脂</t>
  </si>
  <si>
    <t>黄油润滑脂（15KG/桶）</t>
  </si>
  <si>
    <t>桶</t>
  </si>
  <si>
    <t xml:space="preserve">【京东】https://3.cn/2HFHo-7b?jkl=@PCIru6E1UZ8D@ ZH9112 </t>
  </si>
  <si>
    <t>用于设备轴承/关节活动处润滑</t>
  </si>
  <si>
    <t>2026.2.9</t>
  </si>
  <si>
    <t>储气罐</t>
  </si>
  <si>
    <t>弹簧式安全阀</t>
  </si>
  <si>
    <t>A27W-16T  DN20 整定压力0.84MPA</t>
  </si>
  <si>
    <t xml:space="preserve">【京东】https://3.cn/2-ClZuer?jkl=@FBy9h9wCUgru@ CA1507 </t>
  </si>
  <si>
    <t>根据相关规定安全阀有效期为两年，三台快到期限需要更换。</t>
  </si>
  <si>
    <t>激光下料设备</t>
  </si>
  <si>
    <t>除尘枪风管套装</t>
  </si>
  <si>
    <t>除尘枪+6米管-带接头</t>
  </si>
  <si>
    <t xml:space="preserve">【京东】https://3.cn/2x-xrZD1?jkl=@F1DEkEnCCbZr@ CA1507 </t>
  </si>
  <si>
    <t>下料班组日常对设备进行除尘保洁用</t>
  </si>
  <si>
    <t>送气管道</t>
  </si>
  <si>
    <t>氧气开关阀手轮</t>
  </si>
  <si>
    <t>蓝色手轮+锁母+弹簧（3套）</t>
  </si>
  <si>
    <t xml:space="preserve">【京东】https://3.cn/2ClL5-tS?jkl=@D17Cc1niyBNa@ CA3576 </t>
  </si>
  <si>
    <t>巡检时现场发现手轮有破损，需更换。仓库没有开关阀配件，3个作为备件。</t>
  </si>
  <si>
    <t>氧气开关阀</t>
  </si>
  <si>
    <t>无安全阀-氧气瓶开关阀（国标）</t>
  </si>
  <si>
    <t xml:space="preserve">【京东】https://3.cn/2ClOOf-z?jkl=@OCGo81MxBXqA@ MF5681 </t>
  </si>
  <si>
    <t>内外焊</t>
  </si>
  <si>
    <t>120平方紫铜连接管</t>
  </si>
  <si>
    <t>GT-120平方</t>
  </si>
  <si>
    <t>异常烧坏</t>
  </si>
  <si>
    <t xml:space="preserve">【京东】https://3.cn/2-uoO3yl?jkl=@H0LYU6pCPXv2@ CA3576 </t>
  </si>
  <si>
    <t>内外焊设备常用备品备件，焊接时电缆发热量较大，偶尔发生异常烧坏情况。</t>
  </si>
  <si>
    <t>120平方铜鼻子</t>
  </si>
  <si>
    <t>DT-120平方</t>
  </si>
  <si>
    <t xml:space="preserve">【京东】https://3.cn/2ClsW-qL?jkl=@S2Rry7q2lDRd@ ZH9112 </t>
  </si>
  <si>
    <t>95平方紫铜连接管</t>
  </si>
  <si>
    <t>GT-95平方</t>
  </si>
  <si>
    <t>30</t>
  </si>
  <si>
    <t>95平方铜鼻子</t>
  </si>
  <si>
    <t>DT-95平方</t>
  </si>
  <si>
    <t>20</t>
  </si>
  <si>
    <t>矫正机</t>
  </si>
  <si>
    <t>液压油高压滤芯</t>
  </si>
  <si>
    <t>HDX-250*10</t>
  </si>
  <si>
    <t>磨损/堵塞</t>
  </si>
  <si>
    <t xml:space="preserve">【京东】https://3.cn/2D-6Fuzs?jkl=@JE0BW36GVA1X@ MF5681 </t>
  </si>
  <si>
    <t>校正机散热系统对液压油油质要求高，根据该设备过滤器保养要求需定时更换以保证稳定运行。</t>
  </si>
  <si>
    <t>液压过高压滤芯</t>
  </si>
  <si>
    <t>HDX-100*10</t>
  </si>
  <si>
    <t>焊条</t>
  </si>
  <si>
    <t>金桥J422-3.2mm</t>
  </si>
  <si>
    <t xml:space="preserve">【京东】https://3.cn/2-wgVSzt?jkl=@H19NU0w7at0F@ ZH1997 </t>
  </si>
  <si>
    <t>常用消耗类工具采购</t>
  </si>
  <si>
    <t>切割片</t>
  </si>
  <si>
    <t>105*1.2*16</t>
  </si>
  <si>
    <t>50</t>
  </si>
  <si>
    <t>5</t>
  </si>
  <si>
    <t>盒</t>
  </si>
  <si>
    <t xml:space="preserve">【京东】https://3.cn/-2D63o9w?jkl=@J31gm9sUrvGZ@ CA8680 </t>
  </si>
  <si>
    <t>电动扳手备用电池</t>
  </si>
  <si>
    <t>21V 8AH</t>
  </si>
  <si>
    <t>异常损坏</t>
  </si>
  <si>
    <t>90</t>
  </si>
  <si>
    <t>1</t>
  </si>
  <si>
    <t>块</t>
  </si>
  <si>
    <r>
      <t>【京东】</t>
    </r>
    <r>
      <rPr>
        <sz val="12"/>
        <color rgb="FF000000"/>
        <rFont val="Arial"/>
        <charset val="134"/>
      </rPr>
      <t xml:space="preserve">https://3.cn/-2D6vEBG?jkl=@DD29W6fzt5YY@ CA1507 </t>
    </r>
  </si>
  <si>
    <t>2025.12.04</t>
  </si>
  <si>
    <t>示波器</t>
  </si>
  <si>
    <t>1014D示波器标配＋100X探头</t>
  </si>
  <si>
    <t>【京东】https://3.cn/2sW4n-2G?jkl=@B6DTt7hmhL@ MF8335 「德力西电气（DELIXI ELECTRIC）数字示波器</t>
  </si>
  <si>
    <t>插座（不带线）</t>
  </si>
  <si>
    <t>摔不烂4位无线插座（单排）</t>
  </si>
  <si>
    <t>【京东】https://3.cn/2s-Wbp78?jkl=@V2NcSAxA7m@ MF8555 「摔不烂 4位无线插座」</t>
  </si>
  <si>
    <t>插头</t>
  </si>
  <si>
    <t>16A三脚可拆插头黑GNT-16S</t>
  </si>
  <si>
    <t>【京东】https://3.cn/2sWbP-Q6?jkl=@E6UWaCXN6B@ CA8680 「公牛 16A三脚可拆插头黑GNT-16S」</t>
  </si>
  <si>
    <t>垃圾桶内胆</t>
  </si>
  <si>
    <t>不锈钢方桶31*31*58.5cm</t>
  </si>
  <si>
    <t xml:space="preserve">京东】https://3.cn/2w-XdfXC?jkl=@W5OlC47CrT6D@ CA1507 </t>
  </si>
  <si>
    <t>电动液压钳</t>
  </si>
  <si>
    <t>插电式绿林（GREENER）液压钳</t>
  </si>
  <si>
    <t xml:space="preserve">【京东】https://3.cn/2wR-w2FI?jkl=@O42gCD7nLguH@ ZH1997 </t>
  </si>
  <si>
    <t>断丝取出器</t>
  </si>
  <si>
    <t>绿林断管取出器8件套</t>
  </si>
  <si>
    <t xml:space="preserve">【京东】https://3.cn/2wRA-b2L?jkl=@Q53VF4hxGyCa@ ZH1997 </t>
  </si>
  <si>
    <t>水平尺</t>
  </si>
  <si>
    <t>数显带磁水平尺300mm</t>
  </si>
  <si>
    <t xml:space="preserve">【京东】https://3.cn/2wXfUu-K?jkl=@SFOk8EaCSyCp@ CZ154 </t>
  </si>
  <si>
    <t>活塞空压机</t>
  </si>
  <si>
    <t>空滤器总成-1</t>
  </si>
  <si>
    <t>铁壳32mm细牙</t>
  </si>
  <si>
    <t xml:space="preserve">【京东】https://3.cn/2uossm-r?jkl=@ZFGCi82czlYg@ CA8680 </t>
  </si>
  <si>
    <t>空滤器总成-2</t>
  </si>
  <si>
    <t>铁壳32mm粗牙</t>
  </si>
  <si>
    <t>2026.1.23</t>
  </si>
  <si>
    <t>王虎</t>
  </si>
  <si>
    <t>亚克力遥控器收纳盒</t>
  </si>
  <si>
    <t>20个</t>
  </si>
  <si>
    <t>补漏防水强力AB胶水</t>
  </si>
  <si>
    <t>铸工胶100g</t>
  </si>
  <si>
    <t>3盒</t>
  </si>
  <si>
    <t>2026.3.23</t>
  </si>
  <si>
    <t>吴巧书</t>
  </si>
  <si>
    <t>气动一体刻字机（10根打印针）</t>
  </si>
  <si>
    <t>1台</t>
  </si>
  <si>
    <t>小型气泵</t>
  </si>
  <si>
    <t>压力0.7Mpa,容量30L</t>
  </si>
  <si>
    <t>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</si>
</sst>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ajor"/>
    </font>
    <font>
      <sz val="12"/>
      <color rgb="FF000000"/>
      <name val="Arial"/>
      <charset val="134"/>
    </font>
    <font>
      <sz val="11"/>
      <color rgb="FF000000"/>
      <name val="Arial"/>
      <charset val="134"/>
    </font>
    <font>
      <b/>
      <sz val="10"/>
      <color rgb="FF000000"/>
      <name val="宋体"/>
      <charset val="134"/>
      <scheme val="major"/>
    </font>
    <font>
      <b/>
      <sz val="11"/>
      <color rgb="FF000000"/>
      <name val="Arial"/>
      <charset val="134"/>
    </font>
    <font>
      <b/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name val="宋体"/>
      <charset val="0"/>
      <scheme val="minor"/>
    </font>
    <font>
      <sz val="12"/>
      <color rgb="FF000000"/>
      <name val="宋体"/>
      <charset val="134"/>
      <scheme val="maj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1" applyNumberFormat="0" applyAlignment="0" applyProtection="0">
      <alignment vertical="center"/>
    </xf>
    <xf numFmtId="0" fontId="22" fillId="4" borderId="12" applyNumberFormat="0" applyAlignment="0" applyProtection="0">
      <alignment vertical="center"/>
    </xf>
    <xf numFmtId="0" fontId="23" fillId="4" borderId="11" applyNumberFormat="0" applyAlignment="0" applyProtection="0">
      <alignment vertical="center"/>
    </xf>
    <xf numFmtId="0" fontId="24" fillId="5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left" vertical="center" wrapText="1"/>
    </xf>
    <xf numFmtId="49" fontId="3" fillId="0" borderId="0" xfId="0" applyNumberFormat="1" applyFont="1" applyFill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" fontId="7" fillId="0" borderId="3" xfId="0" applyNumberFormat="1" applyFont="1" applyFill="1" applyBorder="1" applyAlignment="1">
      <alignment horizontal="center" vertical="center" wrapText="1"/>
    </xf>
    <xf numFmtId="1" fontId="7" fillId="0" borderId="3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left" vertical="center"/>
    </xf>
    <xf numFmtId="49" fontId="9" fillId="0" borderId="4" xfId="0" applyNumberFormat="1" applyFont="1" applyFill="1" applyBorder="1" applyAlignment="1">
      <alignment horizontal="left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left" vertical="center" wrapText="1"/>
    </xf>
    <xf numFmtId="49" fontId="9" fillId="0" borderId="5" xfId="0" applyNumberFormat="1" applyFont="1" applyFill="1" applyBorder="1" applyAlignment="1">
      <alignment horizontal="left" vertical="center" wrapText="1"/>
    </xf>
    <xf numFmtId="49" fontId="9" fillId="0" borderId="6" xfId="0" applyNumberFormat="1" applyFont="1" applyFill="1" applyBorder="1" applyAlignment="1">
      <alignment horizontal="left" vertical="center" wrapText="1"/>
    </xf>
    <xf numFmtId="0" fontId="10" fillId="0" borderId="3" xfId="6" applyFont="1" applyBorder="1" applyAlignment="1">
      <alignment horizontal="left" vertical="center"/>
    </xf>
    <xf numFmtId="49" fontId="9" fillId="0" borderId="7" xfId="0" applyNumberFormat="1" applyFont="1" applyFill="1" applyBorder="1" applyAlignment="1">
      <alignment horizontal="left" vertical="center" wrapText="1"/>
    </xf>
    <xf numFmtId="49" fontId="9" fillId="0" borderId="7" xfId="0" applyNumberFormat="1" applyFont="1" applyFill="1" applyBorder="1" applyAlignment="1">
      <alignment horizontal="center" vertical="center" wrapText="1"/>
    </xf>
    <xf numFmtId="49" fontId="9" fillId="0" borderId="4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11" fillId="0" borderId="3" xfId="0" applyNumberFormat="1" applyFont="1" applyFill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A1:R46"/>
  <sheetViews>
    <sheetView tabSelected="1" zoomScale="70" zoomScaleNormal="70" topLeftCell="A24" workbookViewId="0">
      <selection activeCell="B50" sqref="B50"/>
    </sheetView>
  </sheetViews>
  <sheetFormatPr defaultColWidth="42.1666666666667" defaultRowHeight="15"/>
  <cols>
    <col min="1" max="1" width="9.64166666666667" style="4" customWidth="1"/>
    <col min="2" max="2" width="12.1416666666667" style="4" customWidth="1"/>
    <col min="3" max="4" width="14.875" style="4" customWidth="1"/>
    <col min="5" max="5" width="32.325" style="5" customWidth="1"/>
    <col min="6" max="6" width="32.85" style="6" customWidth="1"/>
    <col min="7" max="7" width="11.125" style="4" customWidth="1"/>
    <col min="8" max="8" width="11.25" style="4" customWidth="1"/>
    <col min="9" max="9" width="15.5" style="4" customWidth="1"/>
    <col min="10" max="10" width="7.5" style="4" customWidth="1"/>
    <col min="11" max="11" width="7.25" style="4" customWidth="1"/>
    <col min="12" max="12" width="7.75" style="4" customWidth="1"/>
    <col min="13" max="13" width="9.125" style="7" customWidth="1"/>
    <col min="14" max="14" width="62.9666666666667" style="8" customWidth="1"/>
    <col min="15" max="15" width="87.8" style="9" customWidth="1"/>
    <col min="16" max="33" width="42.1666666666667" style="4" customWidth="1"/>
    <col min="34" max="16353" width="7.46666666666667" style="4" customWidth="1"/>
    <col min="16354" max="16384" width="42.1666666666667" style="4" customWidth="1"/>
  </cols>
  <sheetData>
    <row r="1" s="1" customFormat="1" ht="42" customHeight="1" spans="1:15">
      <c r="A1" s="10" t="s">
        <v>0</v>
      </c>
      <c r="B1" s="10" t="s">
        <v>1</v>
      </c>
      <c r="C1" s="11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1" t="s">
        <v>8</v>
      </c>
      <c r="J1" s="10" t="s">
        <v>9</v>
      </c>
      <c r="K1" s="10" t="s">
        <v>10</v>
      </c>
      <c r="L1" s="11" t="s">
        <v>11</v>
      </c>
      <c r="M1" s="12" t="s">
        <v>12</v>
      </c>
      <c r="N1" s="10" t="s">
        <v>13</v>
      </c>
      <c r="O1" s="13" t="s">
        <v>14</v>
      </c>
    </row>
    <row r="2" s="2" customFormat="1" ht="18" customHeight="1" spans="1:15">
      <c r="A2" s="14">
        <v>1</v>
      </c>
      <c r="B2" s="15" t="s">
        <v>15</v>
      </c>
      <c r="C2" s="16" t="s">
        <v>16</v>
      </c>
      <c r="D2" s="17" t="s">
        <v>17</v>
      </c>
      <c r="E2" s="17" t="s">
        <v>18</v>
      </c>
      <c r="F2" s="17" t="s">
        <v>19</v>
      </c>
      <c r="G2" s="18" t="s">
        <v>20</v>
      </c>
      <c r="H2" s="17" t="s">
        <v>21</v>
      </c>
      <c r="I2" s="17" t="s">
        <v>22</v>
      </c>
      <c r="J2" s="17">
        <v>120</v>
      </c>
      <c r="K2" s="17">
        <v>5</v>
      </c>
      <c r="L2" s="17" t="s">
        <v>23</v>
      </c>
      <c r="M2" s="19">
        <f>J2*K2</f>
        <v>600</v>
      </c>
      <c r="N2" s="20" t="s">
        <v>24</v>
      </c>
      <c r="O2" s="21" t="s">
        <v>25</v>
      </c>
    </row>
    <row r="3" s="2" customFormat="1" ht="18" customHeight="1" spans="1:15">
      <c r="A3" s="14">
        <v>2</v>
      </c>
      <c r="B3" s="15"/>
      <c r="C3" s="16"/>
      <c r="D3" s="17"/>
      <c r="E3" s="22" t="s">
        <v>26</v>
      </c>
      <c r="F3" s="22" t="s">
        <v>27</v>
      </c>
      <c r="G3" s="18" t="s">
        <v>20</v>
      </c>
      <c r="H3" s="17" t="s">
        <v>21</v>
      </c>
      <c r="I3" s="17" t="s">
        <v>22</v>
      </c>
      <c r="J3" s="22" t="s">
        <v>28</v>
      </c>
      <c r="K3" s="22" t="s">
        <v>29</v>
      </c>
      <c r="L3" s="17" t="s">
        <v>30</v>
      </c>
      <c r="M3" s="19">
        <f>J3*K3</f>
        <v>80</v>
      </c>
      <c r="N3" s="23" t="s">
        <v>31</v>
      </c>
      <c r="O3" s="24"/>
    </row>
    <row r="4" s="2" customFormat="1" ht="18" customHeight="1" spans="1:15">
      <c r="A4" s="14">
        <v>3</v>
      </c>
      <c r="B4" s="15"/>
      <c r="C4" s="16"/>
      <c r="D4" s="17"/>
      <c r="E4" s="22" t="s">
        <v>26</v>
      </c>
      <c r="F4" s="22" t="s">
        <v>32</v>
      </c>
      <c r="G4" s="18" t="s">
        <v>20</v>
      </c>
      <c r="H4" s="17" t="s">
        <v>21</v>
      </c>
      <c r="I4" s="17" t="s">
        <v>22</v>
      </c>
      <c r="J4" s="22" t="s">
        <v>33</v>
      </c>
      <c r="K4" s="22" t="s">
        <v>29</v>
      </c>
      <c r="L4" s="17" t="s">
        <v>30</v>
      </c>
      <c r="M4" s="19">
        <f>J4*K4</f>
        <v>120</v>
      </c>
      <c r="N4" s="23"/>
      <c r="O4" s="24"/>
    </row>
    <row r="5" s="2" customFormat="1" ht="18" customHeight="1" spans="1:15">
      <c r="A5" s="14">
        <v>4</v>
      </c>
      <c r="B5" s="15"/>
      <c r="C5" s="16"/>
      <c r="D5" s="17"/>
      <c r="E5" s="22" t="s">
        <v>34</v>
      </c>
      <c r="F5" s="22" t="s">
        <v>35</v>
      </c>
      <c r="G5" s="18" t="s">
        <v>20</v>
      </c>
      <c r="H5" s="17" t="s">
        <v>36</v>
      </c>
      <c r="I5" s="17" t="s">
        <v>37</v>
      </c>
      <c r="J5" s="22" t="s">
        <v>38</v>
      </c>
      <c r="K5" s="22" t="s">
        <v>33</v>
      </c>
      <c r="L5" s="17" t="s">
        <v>30</v>
      </c>
      <c r="M5" s="19">
        <f>J5*K5</f>
        <v>180</v>
      </c>
      <c r="N5" s="23" t="s">
        <v>39</v>
      </c>
      <c r="O5" s="24"/>
    </row>
    <row r="6" s="2" customFormat="1" ht="18" customHeight="1" spans="1:15">
      <c r="A6" s="14">
        <v>5</v>
      </c>
      <c r="B6" s="15"/>
      <c r="C6" s="16"/>
      <c r="D6" s="17"/>
      <c r="E6" s="22" t="s">
        <v>40</v>
      </c>
      <c r="F6" s="22" t="s">
        <v>41</v>
      </c>
      <c r="G6" s="18" t="s">
        <v>20</v>
      </c>
      <c r="H6" s="17" t="s">
        <v>21</v>
      </c>
      <c r="I6" s="17" t="s">
        <v>22</v>
      </c>
      <c r="J6" s="22" t="s">
        <v>38</v>
      </c>
      <c r="K6" s="22" t="s">
        <v>28</v>
      </c>
      <c r="L6" s="17" t="s">
        <v>30</v>
      </c>
      <c r="M6" s="19">
        <f>J6*K6</f>
        <v>120</v>
      </c>
      <c r="N6" s="23" t="s">
        <v>42</v>
      </c>
      <c r="O6" s="24"/>
    </row>
    <row r="7" s="2" customFormat="1" ht="18" customHeight="1" spans="1:15">
      <c r="A7" s="14">
        <v>6</v>
      </c>
      <c r="B7" s="15"/>
      <c r="C7" s="16"/>
      <c r="D7" s="17"/>
      <c r="E7" s="22" t="s">
        <v>43</v>
      </c>
      <c r="F7" s="22" t="s">
        <v>44</v>
      </c>
      <c r="G7" s="18" t="s">
        <v>20</v>
      </c>
      <c r="H7" s="17" t="s">
        <v>21</v>
      </c>
      <c r="I7" s="17" t="s">
        <v>22</v>
      </c>
      <c r="J7" s="22" t="s">
        <v>38</v>
      </c>
      <c r="K7" s="22" t="s">
        <v>28</v>
      </c>
      <c r="L7" s="17" t="s">
        <v>30</v>
      </c>
      <c r="M7" s="19">
        <f>J7*K7</f>
        <v>120</v>
      </c>
      <c r="N7" s="23" t="s">
        <v>45</v>
      </c>
      <c r="O7" s="25"/>
    </row>
    <row r="8" s="2" customFormat="1" ht="18" customHeight="1" spans="1:15">
      <c r="A8" s="14">
        <v>7</v>
      </c>
      <c r="B8" s="15"/>
      <c r="C8" s="16"/>
      <c r="D8" s="22" t="s">
        <v>46</v>
      </c>
      <c r="E8" s="17" t="s">
        <v>47</v>
      </c>
      <c r="F8" s="17" t="s">
        <v>48</v>
      </c>
      <c r="G8" s="18" t="s">
        <v>20</v>
      </c>
      <c r="H8" s="17" t="s">
        <v>21</v>
      </c>
      <c r="I8" s="17" t="s">
        <v>49</v>
      </c>
      <c r="J8" s="17">
        <v>650</v>
      </c>
      <c r="K8" s="17">
        <v>1</v>
      </c>
      <c r="L8" s="17" t="s">
        <v>23</v>
      </c>
      <c r="M8" s="19">
        <f t="shared" ref="M8:M17" si="0">J8*K8</f>
        <v>650</v>
      </c>
      <c r="N8" s="20" t="s">
        <v>50</v>
      </c>
      <c r="O8" s="21" t="s">
        <v>51</v>
      </c>
    </row>
    <row r="9" s="2" customFormat="1" ht="18" customHeight="1" spans="1:15">
      <c r="A9" s="14">
        <v>8</v>
      </c>
      <c r="B9" s="15"/>
      <c r="C9" s="16"/>
      <c r="D9" s="22"/>
      <c r="E9" s="17" t="s">
        <v>52</v>
      </c>
      <c r="F9" s="17" t="s">
        <v>53</v>
      </c>
      <c r="G9" s="18" t="s">
        <v>20</v>
      </c>
      <c r="H9" s="17" t="s">
        <v>21</v>
      </c>
      <c r="I9" s="17" t="s">
        <v>54</v>
      </c>
      <c r="J9" s="17">
        <v>40</v>
      </c>
      <c r="K9" s="17">
        <v>1</v>
      </c>
      <c r="L9" s="17" t="s">
        <v>23</v>
      </c>
      <c r="M9" s="19">
        <f t="shared" si="0"/>
        <v>40</v>
      </c>
      <c r="N9" s="20" t="s">
        <v>55</v>
      </c>
      <c r="O9" s="24"/>
    </row>
    <row r="10" s="3" customFormat="1" ht="18" customHeight="1" spans="1:15">
      <c r="A10" s="14">
        <v>9</v>
      </c>
      <c r="B10" s="15"/>
      <c r="C10" s="16"/>
      <c r="D10" s="22"/>
      <c r="E10" s="17" t="s">
        <v>56</v>
      </c>
      <c r="F10" s="17" t="s">
        <v>57</v>
      </c>
      <c r="G10" s="18" t="s">
        <v>20</v>
      </c>
      <c r="H10" s="17" t="s">
        <v>21</v>
      </c>
      <c r="I10" s="17" t="s">
        <v>58</v>
      </c>
      <c r="J10" s="17">
        <v>40</v>
      </c>
      <c r="K10" s="17">
        <v>4</v>
      </c>
      <c r="L10" s="17" t="s">
        <v>59</v>
      </c>
      <c r="M10" s="19">
        <f t="shared" si="0"/>
        <v>160</v>
      </c>
      <c r="N10" s="20" t="s">
        <v>60</v>
      </c>
      <c r="O10" s="24"/>
    </row>
    <row r="11" s="2" customFormat="1" ht="18" customHeight="1" spans="1:15">
      <c r="A11" s="14">
        <v>10</v>
      </c>
      <c r="B11" s="15"/>
      <c r="C11" s="16"/>
      <c r="D11" s="22"/>
      <c r="E11" s="17" t="s">
        <v>61</v>
      </c>
      <c r="F11" s="17" t="s">
        <v>62</v>
      </c>
      <c r="G11" s="18" t="s">
        <v>20</v>
      </c>
      <c r="H11" s="17" t="s">
        <v>21</v>
      </c>
      <c r="I11" s="17" t="s">
        <v>58</v>
      </c>
      <c r="J11" s="17">
        <v>40</v>
      </c>
      <c r="K11" s="17">
        <v>4</v>
      </c>
      <c r="L11" s="17" t="s">
        <v>59</v>
      </c>
      <c r="M11" s="19">
        <f t="shared" si="0"/>
        <v>160</v>
      </c>
      <c r="N11" s="26" t="s">
        <v>63</v>
      </c>
      <c r="O11" s="24"/>
    </row>
    <row r="12" s="2" customFormat="1" ht="18" customHeight="1" spans="1:15">
      <c r="A12" s="14">
        <v>11</v>
      </c>
      <c r="B12" s="15"/>
      <c r="C12" s="16"/>
      <c r="D12" s="22"/>
      <c r="E12" s="17" t="s">
        <v>64</v>
      </c>
      <c r="F12" s="17" t="s">
        <v>65</v>
      </c>
      <c r="G12" s="18" t="s">
        <v>20</v>
      </c>
      <c r="H12" s="17" t="s">
        <v>66</v>
      </c>
      <c r="I12" s="17"/>
      <c r="J12" s="17">
        <v>200</v>
      </c>
      <c r="K12" s="17">
        <v>2</v>
      </c>
      <c r="L12" s="17" t="s">
        <v>67</v>
      </c>
      <c r="M12" s="19">
        <f t="shared" si="0"/>
        <v>400</v>
      </c>
      <c r="N12" s="20" t="s">
        <v>68</v>
      </c>
      <c r="O12" s="25"/>
    </row>
    <row r="13" s="3" customFormat="1" ht="18" customHeight="1" spans="1:15">
      <c r="A13" s="14">
        <v>12</v>
      </c>
      <c r="B13" s="15"/>
      <c r="C13" s="16"/>
      <c r="D13" s="22"/>
      <c r="E13" s="17" t="s">
        <v>69</v>
      </c>
      <c r="F13" s="17" t="s">
        <v>70</v>
      </c>
      <c r="G13" s="18" t="s">
        <v>20</v>
      </c>
      <c r="H13" s="17" t="s">
        <v>21</v>
      </c>
      <c r="I13" s="17" t="s">
        <v>22</v>
      </c>
      <c r="J13" s="17">
        <v>220</v>
      </c>
      <c r="K13" s="17">
        <v>2</v>
      </c>
      <c r="L13" s="17" t="s">
        <v>71</v>
      </c>
      <c r="M13" s="19">
        <f t="shared" si="0"/>
        <v>440</v>
      </c>
      <c r="N13" s="20" t="s">
        <v>72</v>
      </c>
      <c r="O13" s="27" t="s">
        <v>73</v>
      </c>
    </row>
    <row r="14" s="3" customFormat="1" ht="18" customHeight="1" spans="1:15">
      <c r="A14" s="14">
        <v>13</v>
      </c>
      <c r="B14" s="15"/>
      <c r="C14" s="16"/>
      <c r="D14" s="22" t="s">
        <v>74</v>
      </c>
      <c r="E14" s="17" t="s">
        <v>75</v>
      </c>
      <c r="F14" s="17" t="s">
        <v>76</v>
      </c>
      <c r="G14" s="18" t="s">
        <v>20</v>
      </c>
      <c r="H14" s="17" t="s">
        <v>66</v>
      </c>
      <c r="I14" s="17"/>
      <c r="J14" s="17">
        <v>300</v>
      </c>
      <c r="K14" s="17">
        <v>1</v>
      </c>
      <c r="L14" s="17" t="s">
        <v>77</v>
      </c>
      <c r="M14" s="19">
        <f t="shared" si="0"/>
        <v>300</v>
      </c>
      <c r="N14" s="20" t="s">
        <v>78</v>
      </c>
      <c r="O14" s="27" t="s">
        <v>79</v>
      </c>
    </row>
    <row r="15" ht="18" customHeight="1" spans="1:15">
      <c r="A15" s="14">
        <v>14</v>
      </c>
      <c r="B15" s="15" t="s">
        <v>80</v>
      </c>
      <c r="C15" s="16"/>
      <c r="D15" s="17" t="s">
        <v>81</v>
      </c>
      <c r="E15" s="17" t="s">
        <v>82</v>
      </c>
      <c r="F15" s="17" t="s">
        <v>83</v>
      </c>
      <c r="G15" s="18" t="s">
        <v>20</v>
      </c>
      <c r="H15" s="17" t="s">
        <v>36</v>
      </c>
      <c r="I15" s="17" t="s">
        <v>37</v>
      </c>
      <c r="J15" s="17">
        <v>100</v>
      </c>
      <c r="K15" s="17">
        <v>3</v>
      </c>
      <c r="L15" s="17" t="s">
        <v>30</v>
      </c>
      <c r="M15" s="18">
        <f t="shared" ref="M15:M27" si="1">J15*K15</f>
        <v>300</v>
      </c>
      <c r="N15" s="20" t="s">
        <v>84</v>
      </c>
      <c r="O15" s="28" t="s">
        <v>85</v>
      </c>
    </row>
    <row r="16" ht="18" customHeight="1" spans="1:15">
      <c r="A16" s="14">
        <v>15</v>
      </c>
      <c r="B16" s="15"/>
      <c r="C16" s="16"/>
      <c r="D16" s="17" t="s">
        <v>86</v>
      </c>
      <c r="E16" s="17" t="s">
        <v>87</v>
      </c>
      <c r="F16" s="17" t="s">
        <v>88</v>
      </c>
      <c r="G16" s="18" t="s">
        <v>20</v>
      </c>
      <c r="H16" s="17" t="s">
        <v>21</v>
      </c>
      <c r="I16" s="17" t="s">
        <v>54</v>
      </c>
      <c r="J16" s="17">
        <v>30</v>
      </c>
      <c r="K16" s="17">
        <v>2</v>
      </c>
      <c r="L16" s="17" t="s">
        <v>23</v>
      </c>
      <c r="M16" s="18">
        <f t="shared" si="1"/>
        <v>60</v>
      </c>
      <c r="N16" s="26" t="s">
        <v>89</v>
      </c>
      <c r="O16" s="29" t="s">
        <v>90</v>
      </c>
    </row>
    <row r="17" ht="18" customHeight="1" spans="1:18">
      <c r="A17" s="14">
        <v>16</v>
      </c>
      <c r="B17" s="15"/>
      <c r="C17" s="16"/>
      <c r="D17" s="17" t="s">
        <v>91</v>
      </c>
      <c r="E17" s="17" t="s">
        <v>92</v>
      </c>
      <c r="F17" s="17" t="s">
        <v>93</v>
      </c>
      <c r="G17" s="18" t="s">
        <v>20</v>
      </c>
      <c r="H17" s="17" t="s">
        <v>21</v>
      </c>
      <c r="I17" s="17" t="s">
        <v>22</v>
      </c>
      <c r="J17" s="17">
        <v>23</v>
      </c>
      <c r="K17" s="17">
        <v>2</v>
      </c>
      <c r="L17" s="17" t="s">
        <v>23</v>
      </c>
      <c r="M17" s="18">
        <f t="shared" si="1"/>
        <v>46</v>
      </c>
      <c r="N17" s="20" t="s">
        <v>94</v>
      </c>
      <c r="O17" s="29" t="s">
        <v>95</v>
      </c>
    </row>
    <row r="18" ht="18" customHeight="1" spans="1:18">
      <c r="A18" s="14">
        <v>17</v>
      </c>
      <c r="B18" s="15"/>
      <c r="C18" s="16"/>
      <c r="D18" s="17"/>
      <c r="E18" s="17" t="s">
        <v>96</v>
      </c>
      <c r="F18" s="17" t="s">
        <v>97</v>
      </c>
      <c r="G18" s="18" t="s">
        <v>20</v>
      </c>
      <c r="H18" s="17" t="s">
        <v>21</v>
      </c>
      <c r="I18" s="17" t="s">
        <v>22</v>
      </c>
      <c r="J18" s="17">
        <v>70</v>
      </c>
      <c r="K18" s="17">
        <v>3</v>
      </c>
      <c r="L18" s="17" t="s">
        <v>30</v>
      </c>
      <c r="M18" s="18">
        <f t="shared" si="1"/>
        <v>210</v>
      </c>
      <c r="N18" s="20" t="s">
        <v>98</v>
      </c>
      <c r="O18" s="30"/>
    </row>
    <row r="19" ht="18" customHeight="1" spans="1:18">
      <c r="A19" s="14">
        <v>18</v>
      </c>
      <c r="B19" s="15"/>
      <c r="C19" s="16"/>
      <c r="D19" s="17" t="s">
        <v>99</v>
      </c>
      <c r="E19" s="17" t="s">
        <v>100</v>
      </c>
      <c r="F19" s="17" t="s">
        <v>101</v>
      </c>
      <c r="G19" s="18" t="s">
        <v>20</v>
      </c>
      <c r="H19" s="17" t="s">
        <v>21</v>
      </c>
      <c r="I19" s="17" t="s">
        <v>102</v>
      </c>
      <c r="J19" s="17">
        <v>12</v>
      </c>
      <c r="K19" s="17">
        <v>30</v>
      </c>
      <c r="L19" s="17" t="s">
        <v>30</v>
      </c>
      <c r="M19" s="18">
        <f t="shared" si="1"/>
        <v>360</v>
      </c>
      <c r="N19" s="20" t="s">
        <v>103</v>
      </c>
      <c r="O19" s="28" t="s">
        <v>104</v>
      </c>
    </row>
    <row r="20" ht="18" customHeight="1" spans="1:18">
      <c r="A20" s="14">
        <v>19</v>
      </c>
      <c r="B20" s="15"/>
      <c r="C20" s="16"/>
      <c r="D20" s="17"/>
      <c r="E20" s="17" t="s">
        <v>105</v>
      </c>
      <c r="F20" s="17" t="s">
        <v>106</v>
      </c>
      <c r="G20" s="18" t="s">
        <v>20</v>
      </c>
      <c r="H20" s="17" t="s">
        <v>21</v>
      </c>
      <c r="I20" s="17" t="s">
        <v>102</v>
      </c>
      <c r="J20" s="17">
        <v>22</v>
      </c>
      <c r="K20" s="17">
        <v>20</v>
      </c>
      <c r="L20" s="17" t="s">
        <v>30</v>
      </c>
      <c r="M20" s="18">
        <f t="shared" si="1"/>
        <v>440</v>
      </c>
      <c r="N20" s="20" t="s">
        <v>107</v>
      </c>
      <c r="O20" s="31"/>
    </row>
    <row r="21" ht="18" customHeight="1" spans="1:18">
      <c r="A21" s="14">
        <v>20</v>
      </c>
      <c r="B21" s="15"/>
      <c r="C21" s="16"/>
      <c r="D21" s="17"/>
      <c r="E21" s="22" t="s">
        <v>108</v>
      </c>
      <c r="F21" s="22" t="s">
        <v>109</v>
      </c>
      <c r="G21" s="18" t="s">
        <v>20</v>
      </c>
      <c r="H21" s="17" t="s">
        <v>21</v>
      </c>
      <c r="I21" s="17" t="s">
        <v>102</v>
      </c>
      <c r="J21" s="22" t="s">
        <v>28</v>
      </c>
      <c r="K21" s="22" t="s">
        <v>110</v>
      </c>
      <c r="L21" s="17" t="s">
        <v>30</v>
      </c>
      <c r="M21" s="18">
        <f t="shared" si="1"/>
        <v>300</v>
      </c>
      <c r="N21" s="23" t="s">
        <v>103</v>
      </c>
      <c r="O21" s="31"/>
    </row>
    <row r="22" ht="18" customHeight="1" spans="1:18">
      <c r="A22" s="14">
        <v>21</v>
      </c>
      <c r="B22" s="15"/>
      <c r="C22" s="16"/>
      <c r="D22" s="17"/>
      <c r="E22" s="22" t="s">
        <v>111</v>
      </c>
      <c r="F22" s="22" t="s">
        <v>112</v>
      </c>
      <c r="G22" s="18" t="s">
        <v>20</v>
      </c>
      <c r="H22" s="17" t="s">
        <v>21</v>
      </c>
      <c r="I22" s="17" t="s">
        <v>102</v>
      </c>
      <c r="J22" s="22" t="s">
        <v>113</v>
      </c>
      <c r="K22" s="22" t="s">
        <v>113</v>
      </c>
      <c r="L22" s="17" t="s">
        <v>30</v>
      </c>
      <c r="M22" s="18">
        <f t="shared" si="1"/>
        <v>400</v>
      </c>
      <c r="N22" s="23" t="s">
        <v>107</v>
      </c>
      <c r="O22" s="31"/>
    </row>
    <row r="23" ht="18" customHeight="1" spans="1:18">
      <c r="A23" s="14">
        <v>22</v>
      </c>
      <c r="B23" s="15"/>
      <c r="C23" s="16"/>
      <c r="D23" s="22" t="s">
        <v>114</v>
      </c>
      <c r="E23" s="17" t="s">
        <v>115</v>
      </c>
      <c r="F23" s="17" t="s">
        <v>116</v>
      </c>
      <c r="G23" s="18" t="s">
        <v>20</v>
      </c>
      <c r="H23" s="17" t="s">
        <v>36</v>
      </c>
      <c r="I23" s="17" t="s">
        <v>117</v>
      </c>
      <c r="J23" s="17">
        <v>100</v>
      </c>
      <c r="K23" s="17">
        <v>2</v>
      </c>
      <c r="L23" s="17" t="s">
        <v>30</v>
      </c>
      <c r="M23" s="18">
        <f t="shared" si="1"/>
        <v>200</v>
      </c>
      <c r="N23" s="20" t="s">
        <v>118</v>
      </c>
      <c r="O23" s="28" t="s">
        <v>119</v>
      </c>
    </row>
    <row r="24" ht="18" customHeight="1" spans="1:18">
      <c r="A24" s="14">
        <v>23</v>
      </c>
      <c r="B24" s="15"/>
      <c r="C24" s="16"/>
      <c r="D24" s="22"/>
      <c r="E24" s="17" t="s">
        <v>120</v>
      </c>
      <c r="F24" s="17" t="s">
        <v>121</v>
      </c>
      <c r="G24" s="18" t="s">
        <v>20</v>
      </c>
      <c r="H24" s="17" t="s">
        <v>36</v>
      </c>
      <c r="I24" s="17" t="s">
        <v>117</v>
      </c>
      <c r="J24" s="17">
        <v>70</v>
      </c>
      <c r="K24" s="17">
        <v>2</v>
      </c>
      <c r="L24" s="17" t="s">
        <v>30</v>
      </c>
      <c r="M24" s="18">
        <f t="shared" si="1"/>
        <v>140</v>
      </c>
      <c r="N24" s="20" t="s">
        <v>118</v>
      </c>
      <c r="O24" s="31"/>
    </row>
    <row r="25" ht="18" customHeight="1" spans="1:18">
      <c r="A25" s="14">
        <v>24</v>
      </c>
      <c r="B25" s="15"/>
      <c r="C25" s="16"/>
      <c r="D25" s="22" t="s">
        <v>46</v>
      </c>
      <c r="E25" s="17" t="s">
        <v>122</v>
      </c>
      <c r="F25" s="17" t="s">
        <v>123</v>
      </c>
      <c r="G25" s="18" t="s">
        <v>20</v>
      </c>
      <c r="H25" s="17" t="s">
        <v>66</v>
      </c>
      <c r="I25" s="17" t="s">
        <v>22</v>
      </c>
      <c r="J25" s="17">
        <v>180</v>
      </c>
      <c r="K25" s="17">
        <v>2</v>
      </c>
      <c r="L25" s="17" t="s">
        <v>67</v>
      </c>
      <c r="M25" s="18">
        <f t="shared" si="1"/>
        <v>360</v>
      </c>
      <c r="N25" s="20" t="s">
        <v>124</v>
      </c>
      <c r="O25" s="28" t="s">
        <v>125</v>
      </c>
    </row>
    <row r="26" ht="18" customHeight="1" spans="1:18">
      <c r="A26" s="14">
        <v>25</v>
      </c>
      <c r="B26" s="15"/>
      <c r="C26" s="16"/>
      <c r="D26" s="22"/>
      <c r="E26" s="32" t="s">
        <v>126</v>
      </c>
      <c r="F26" s="33" t="s">
        <v>127</v>
      </c>
      <c r="G26" s="18" t="s">
        <v>20</v>
      </c>
      <c r="H26" s="17" t="s">
        <v>66</v>
      </c>
      <c r="I26" s="17" t="s">
        <v>22</v>
      </c>
      <c r="J26" s="22" t="s">
        <v>128</v>
      </c>
      <c r="K26" s="22" t="s">
        <v>129</v>
      </c>
      <c r="L26" s="22" t="s">
        <v>130</v>
      </c>
      <c r="M26" s="18">
        <f t="shared" si="1"/>
        <v>250</v>
      </c>
      <c r="N26" s="23" t="s">
        <v>131</v>
      </c>
      <c r="O26" s="31"/>
    </row>
    <row r="27" ht="18" customHeight="1" spans="1:18">
      <c r="A27" s="14">
        <v>26</v>
      </c>
      <c r="B27" s="15"/>
      <c r="C27" s="16"/>
      <c r="D27" s="22"/>
      <c r="E27" s="32" t="s">
        <v>132</v>
      </c>
      <c r="F27" s="34" t="s">
        <v>133</v>
      </c>
      <c r="G27" s="32" t="s">
        <v>20</v>
      </c>
      <c r="H27" s="32" t="s">
        <v>21</v>
      </c>
      <c r="I27" s="32" t="s">
        <v>134</v>
      </c>
      <c r="J27" s="33" t="s">
        <v>135</v>
      </c>
      <c r="K27" s="33" t="s">
        <v>136</v>
      </c>
      <c r="L27" s="32" t="s">
        <v>137</v>
      </c>
      <c r="M27" s="18">
        <f t="shared" si="1"/>
        <v>90</v>
      </c>
      <c r="N27" s="35" t="s">
        <v>138</v>
      </c>
      <c r="O27" s="31"/>
    </row>
    <row r="28" ht="18" customHeight="1" spans="1:18">
      <c r="A28" s="14">
        <v>27</v>
      </c>
      <c r="B28" s="15" t="s">
        <v>139</v>
      </c>
      <c r="C28" s="16"/>
      <c r="D28" s="36"/>
      <c r="E28" s="19" t="s">
        <v>140</v>
      </c>
      <c r="F28" s="19" t="s">
        <v>141</v>
      </c>
      <c r="G28" s="36"/>
      <c r="H28" s="36"/>
      <c r="I28" s="36"/>
      <c r="J28" s="19">
        <v>1249</v>
      </c>
      <c r="K28" s="19">
        <v>1</v>
      </c>
      <c r="L28" s="19" t="s">
        <v>71</v>
      </c>
      <c r="M28" s="19">
        <f t="shared" ref="M28:M46" si="2">J28*K28</f>
        <v>1249</v>
      </c>
      <c r="N28" s="37" t="s">
        <v>142</v>
      </c>
      <c r="O28" s="38"/>
      <c r="Q28" s="7"/>
      <c r="R28" s="8"/>
    </row>
    <row r="29" ht="18" customHeight="1" spans="1:18">
      <c r="A29" s="14">
        <v>28</v>
      </c>
      <c r="B29" s="15"/>
      <c r="C29" s="16"/>
      <c r="D29" s="36"/>
      <c r="E29" s="19" t="s">
        <v>143</v>
      </c>
      <c r="F29" s="19" t="s">
        <v>144</v>
      </c>
      <c r="G29" s="36"/>
      <c r="H29" s="36"/>
      <c r="I29" s="36"/>
      <c r="J29" s="19">
        <v>22.32</v>
      </c>
      <c r="K29" s="19">
        <v>4</v>
      </c>
      <c r="L29" s="19" t="s">
        <v>30</v>
      </c>
      <c r="M29" s="19">
        <f t="shared" si="2"/>
        <v>89.28</v>
      </c>
      <c r="N29" s="37" t="s">
        <v>145</v>
      </c>
      <c r="O29" s="39"/>
      <c r="Q29" s="7"/>
      <c r="R29" s="8"/>
    </row>
    <row r="30" ht="18" customHeight="1" spans="1:18">
      <c r="A30" s="14">
        <v>29</v>
      </c>
      <c r="B30" s="15"/>
      <c r="C30" s="16"/>
      <c r="D30" s="36"/>
      <c r="E30" s="19" t="s">
        <v>146</v>
      </c>
      <c r="F30" s="19" t="s">
        <v>147</v>
      </c>
      <c r="G30" s="36"/>
      <c r="H30" s="36"/>
      <c r="I30" s="36"/>
      <c r="J30" s="19">
        <v>6.3</v>
      </c>
      <c r="K30" s="19">
        <v>4</v>
      </c>
      <c r="L30" s="19" t="s">
        <v>30</v>
      </c>
      <c r="M30" s="19">
        <f t="shared" si="2"/>
        <v>25.2</v>
      </c>
      <c r="N30" s="37" t="s">
        <v>148</v>
      </c>
      <c r="O30" s="39"/>
      <c r="Q30" s="7"/>
      <c r="R30" s="8"/>
    </row>
    <row r="31" ht="18" customHeight="1" spans="1:18">
      <c r="A31" s="14">
        <v>30</v>
      </c>
      <c r="B31" s="15"/>
      <c r="C31" s="16"/>
      <c r="D31" s="36"/>
      <c r="E31" s="19" t="s">
        <v>149</v>
      </c>
      <c r="F31" s="19" t="s">
        <v>150</v>
      </c>
      <c r="G31" s="36"/>
      <c r="H31" s="36"/>
      <c r="I31" s="36"/>
      <c r="J31" s="19">
        <v>75</v>
      </c>
      <c r="K31" s="19">
        <v>2</v>
      </c>
      <c r="L31" s="19" t="s">
        <v>30</v>
      </c>
      <c r="M31" s="19">
        <f t="shared" si="2"/>
        <v>150</v>
      </c>
      <c r="N31" s="37" t="s">
        <v>151</v>
      </c>
      <c r="O31" s="39"/>
      <c r="Q31" s="7"/>
      <c r="R31" s="8"/>
    </row>
    <row r="32" ht="18" customHeight="1" spans="1:18">
      <c r="A32" s="14">
        <v>31</v>
      </c>
      <c r="B32" s="15"/>
      <c r="C32" s="16"/>
      <c r="D32" s="36"/>
      <c r="E32" s="19" t="s">
        <v>152</v>
      </c>
      <c r="F32" s="19" t="s">
        <v>153</v>
      </c>
      <c r="G32" s="36"/>
      <c r="H32" s="36"/>
      <c r="I32" s="36"/>
      <c r="J32" s="19">
        <v>710</v>
      </c>
      <c r="K32" s="19">
        <v>1</v>
      </c>
      <c r="L32" s="19" t="s">
        <v>59</v>
      </c>
      <c r="M32" s="19">
        <f t="shared" si="2"/>
        <v>710</v>
      </c>
      <c r="N32" s="37" t="s">
        <v>154</v>
      </c>
      <c r="O32" s="39"/>
      <c r="Q32" s="7"/>
      <c r="R32" s="8"/>
    </row>
    <row r="33" ht="18" customHeight="1" spans="1:18">
      <c r="A33" s="14">
        <v>32</v>
      </c>
      <c r="B33" s="15"/>
      <c r="C33" s="16"/>
      <c r="D33" s="36"/>
      <c r="E33" s="19" t="s">
        <v>155</v>
      </c>
      <c r="F33" s="19" t="s">
        <v>156</v>
      </c>
      <c r="G33" s="36"/>
      <c r="H33" s="36"/>
      <c r="I33" s="36"/>
      <c r="J33" s="19">
        <v>30</v>
      </c>
      <c r="K33" s="19">
        <v>2</v>
      </c>
      <c r="L33" s="19" t="s">
        <v>23</v>
      </c>
      <c r="M33" s="19">
        <f t="shared" si="2"/>
        <v>60</v>
      </c>
      <c r="N33" s="37" t="s">
        <v>157</v>
      </c>
      <c r="O33" s="39"/>
      <c r="Q33" s="7"/>
      <c r="R33" s="8"/>
    </row>
    <row r="34" ht="18" customHeight="1" spans="1:18">
      <c r="A34" s="14">
        <v>33</v>
      </c>
      <c r="B34" s="15"/>
      <c r="C34" s="16"/>
      <c r="D34" s="36"/>
      <c r="E34" s="19" t="s">
        <v>158</v>
      </c>
      <c r="F34" s="19" t="s">
        <v>159</v>
      </c>
      <c r="G34" s="36"/>
      <c r="H34" s="36"/>
      <c r="I34" s="36"/>
      <c r="J34" s="19">
        <v>80</v>
      </c>
      <c r="K34" s="19">
        <v>2</v>
      </c>
      <c r="L34" s="19" t="s">
        <v>59</v>
      </c>
      <c r="M34" s="19">
        <f t="shared" si="2"/>
        <v>160</v>
      </c>
      <c r="N34" s="37" t="s">
        <v>160</v>
      </c>
      <c r="O34" s="39"/>
      <c r="Q34" s="7"/>
      <c r="R34" s="8"/>
    </row>
    <row r="35" ht="14.25" spans="1:18">
      <c r="A35" s="14">
        <v>34</v>
      </c>
      <c r="B35" s="36"/>
      <c r="C35" s="16"/>
      <c r="D35" s="22" t="s">
        <v>161</v>
      </c>
      <c r="E35" s="17" t="s">
        <v>162</v>
      </c>
      <c r="F35" s="17" t="s">
        <v>163</v>
      </c>
      <c r="G35" s="18" t="s">
        <v>20</v>
      </c>
      <c r="H35" s="17" t="s">
        <v>21</v>
      </c>
      <c r="I35" s="17" t="s">
        <v>22</v>
      </c>
      <c r="J35" s="17">
        <v>27</v>
      </c>
      <c r="K35" s="17">
        <v>40</v>
      </c>
      <c r="L35" s="17" t="s">
        <v>30</v>
      </c>
      <c r="M35" s="18">
        <f>J35*K35</f>
        <v>1080</v>
      </c>
      <c r="N35" s="17" t="s">
        <v>164</v>
      </c>
    </row>
    <row r="36" ht="14.25" spans="1:18">
      <c r="A36" s="14">
        <v>35</v>
      </c>
      <c r="B36" s="36"/>
      <c r="C36" s="16"/>
      <c r="D36" s="22" t="s">
        <v>161</v>
      </c>
      <c r="E36" s="17" t="s">
        <v>165</v>
      </c>
      <c r="F36" s="17" t="s">
        <v>166</v>
      </c>
      <c r="G36" s="18" t="s">
        <v>20</v>
      </c>
      <c r="H36" s="17" t="s">
        <v>21</v>
      </c>
      <c r="I36" s="17" t="s">
        <v>22</v>
      </c>
      <c r="J36" s="17">
        <v>32</v>
      </c>
      <c r="K36" s="17">
        <v>6</v>
      </c>
      <c r="L36" s="17" t="s">
        <v>30</v>
      </c>
      <c r="M36" s="18">
        <f>J36*K36</f>
        <v>192</v>
      </c>
      <c r="N36" s="17" t="s">
        <v>164</v>
      </c>
    </row>
    <row r="37" spans="1:18">
      <c r="A37" s="14">
        <v>36</v>
      </c>
      <c r="B37" s="40" t="s">
        <v>167</v>
      </c>
      <c r="C37" s="40" t="s">
        <v>168</v>
      </c>
      <c r="D37" s="41"/>
      <c r="E37" s="40" t="s">
        <v>169</v>
      </c>
      <c r="F37" s="42"/>
      <c r="G37" s="40" t="s">
        <v>170</v>
      </c>
      <c r="H37" s="36"/>
      <c r="I37" s="36"/>
      <c r="J37" s="36"/>
      <c r="K37" s="36"/>
      <c r="L37" s="36"/>
      <c r="M37" s="36"/>
      <c r="N37" s="43"/>
    </row>
    <row r="38" spans="1:18">
      <c r="A38" s="14">
        <v>37</v>
      </c>
      <c r="B38" s="42"/>
      <c r="C38" s="42"/>
      <c r="D38" s="41"/>
      <c r="E38" s="40" t="s">
        <v>171</v>
      </c>
      <c r="F38" s="40" t="s">
        <v>172</v>
      </c>
      <c r="G38" s="40" t="s">
        <v>173</v>
      </c>
      <c r="H38" s="36"/>
      <c r="I38" s="36"/>
      <c r="J38" s="36"/>
      <c r="K38" s="36"/>
      <c r="L38" s="36"/>
      <c r="M38" s="36"/>
      <c r="N38" s="43"/>
    </row>
    <row r="39" spans="1:18">
      <c r="A39" s="14">
        <v>38</v>
      </c>
      <c r="B39" s="40" t="s">
        <v>174</v>
      </c>
      <c r="C39" s="40" t="s">
        <v>175</v>
      </c>
      <c r="D39" s="36"/>
      <c r="E39" s="40" t="s">
        <v>176</v>
      </c>
      <c r="F39" s="42"/>
      <c r="G39" s="40" t="s">
        <v>177</v>
      </c>
      <c r="H39" s="42"/>
      <c r="I39" s="36"/>
      <c r="J39" s="36"/>
      <c r="K39" s="36"/>
      <c r="L39" s="36"/>
      <c r="M39" s="36"/>
      <c r="N39" s="43"/>
    </row>
    <row r="40" spans="1:18">
      <c r="A40" s="14">
        <v>39</v>
      </c>
      <c r="B40" s="42"/>
      <c r="C40" s="42"/>
      <c r="D40" s="36"/>
      <c r="E40" s="40" t="s">
        <v>178</v>
      </c>
      <c r="F40" s="40" t="s">
        <v>179</v>
      </c>
      <c r="G40" s="40" t="s">
        <v>177</v>
      </c>
      <c r="H40" s="42"/>
      <c r="I40" s="41"/>
      <c r="J40" s="41"/>
      <c r="K40" s="41"/>
      <c r="L40" s="41"/>
      <c r="M40" s="44"/>
      <c r="N40" s="45"/>
    </row>
    <row r="46" spans="1:18">
      <c r="B46" s="4" t="s">
        <v>180</v>
      </c>
    </row>
  </sheetData>
  <mergeCells count="24">
    <mergeCell ref="G39:H39"/>
    <mergeCell ref="G40:H40"/>
    <mergeCell ref="B2:B14"/>
    <mergeCell ref="B15:B27"/>
    <mergeCell ref="B28:B34"/>
    <mergeCell ref="B35:B36"/>
    <mergeCell ref="B37:B38"/>
    <mergeCell ref="B39:B40"/>
    <mergeCell ref="C2:C36"/>
    <mergeCell ref="C37:C38"/>
    <mergeCell ref="C39:C40"/>
    <mergeCell ref="D2:D7"/>
    <mergeCell ref="D8:D13"/>
    <mergeCell ref="D17:D18"/>
    <mergeCell ref="D19:D22"/>
    <mergeCell ref="D23:D24"/>
    <mergeCell ref="D25:D27"/>
    <mergeCell ref="N3:N4"/>
    <mergeCell ref="O2:O7"/>
    <mergeCell ref="O8:O12"/>
    <mergeCell ref="O17:O18"/>
    <mergeCell ref="O19:O22"/>
    <mergeCell ref="O23:O24"/>
    <mergeCell ref="O25:O2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lixin</dc:creator>
  <cp:lastModifiedBy>心晨</cp:lastModifiedBy>
  <dcterms:created xsi:type="dcterms:W3CDTF">2025-12-25T02:27:00Z</dcterms:created>
  <dcterms:modified xsi:type="dcterms:W3CDTF">2026-04-10T07:46:48Z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DEFC0791B34D4449BB2D1C74F4A39A4F_13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false</vt:bool>
  </property>
</Properties>
</file>